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Code\PYTHON\MS300-LPBF-Prorperties-Prediction\"/>
    </mc:Choice>
  </mc:AlternateContent>
  <xr:revisionPtr revIDLastSave="0" documentId="13_ncr:1_{59369757-B7C2-42BB-AB7F-890AA9932195}" xr6:coauthVersionLast="47" xr6:coauthVersionMax="47" xr10:uidLastSave="{00000000-0000-0000-0000-000000000000}"/>
  <bookViews>
    <workbookView xWindow="-110" yWindow="-110" windowWidth="25820" windowHeight="15500" activeTab="1" xr2:uid="{A0F8BB14-5D3E-4697-8EA2-375B6861484F}"/>
  </bookViews>
  <sheets>
    <sheet name="Minitab_1.MTW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haredStrings.xml><?xml version="1.0" encoding="utf-8"?>
<sst xmlns="http://schemas.openxmlformats.org/spreadsheetml/2006/main" count="20" uniqueCount="15">
  <si>
    <t>StdOrder</t>
  </si>
  <si>
    <t>RunOrder</t>
  </si>
  <si>
    <t>PtType</t>
  </si>
  <si>
    <t>Blocks</t>
  </si>
  <si>
    <t>LP</t>
  </si>
  <si>
    <t>SS</t>
  </si>
  <si>
    <t>HS</t>
  </si>
  <si>
    <t>Stress z=3.861</t>
  </si>
  <si>
    <t>z=4.25</t>
  </si>
  <si>
    <t>bottom</t>
  </si>
  <si>
    <t>upper</t>
  </si>
  <si>
    <t>max</t>
  </si>
  <si>
    <t>min</t>
  </si>
  <si>
    <t>ED</t>
  </si>
  <si>
    <t>Experimental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</si>
</sst>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2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  <xf numFmtId="0" fontId="1" fillId="3" borderId="1" xfId="0" applyFont="1" applyFill="1" applyBorder="1" applyAlignment="1">
      <alignment horizontal="center" wrapText="1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Minitab_1.MTW!$I$1</c:f>
              <c:strCache>
                <c:ptCount val="1"/>
                <c:pt idx="0">
                  <c:v>Stress z=3.861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Minitab_1.MTW!$H$2:$H$21</c:f>
              <c:numCache>
                <c:formatCode>General</c:formatCode>
                <c:ptCount val="20"/>
                <c:pt idx="0">
                  <c:v>65.78947368421052</c:v>
                </c:pt>
                <c:pt idx="1">
                  <c:v>82.23684210526315</c:v>
                </c:pt>
                <c:pt idx="2">
                  <c:v>68.181818181818173</c:v>
                </c:pt>
                <c:pt idx="3">
                  <c:v>75.757575757575765</c:v>
                </c:pt>
                <c:pt idx="4">
                  <c:v>65.78947368421052</c:v>
                </c:pt>
                <c:pt idx="5">
                  <c:v>45.454545454545453</c:v>
                </c:pt>
                <c:pt idx="6">
                  <c:v>92.105263157894726</c:v>
                </c:pt>
                <c:pt idx="7">
                  <c:v>65.78947368421052</c:v>
                </c:pt>
                <c:pt idx="8">
                  <c:v>55.555555555555557</c:v>
                </c:pt>
                <c:pt idx="9">
                  <c:v>92.592592592592581</c:v>
                </c:pt>
                <c:pt idx="10">
                  <c:v>61.728395061728392</c:v>
                </c:pt>
                <c:pt idx="11">
                  <c:v>59.523809523809518</c:v>
                </c:pt>
                <c:pt idx="12">
                  <c:v>54.824561403508767</c:v>
                </c:pt>
                <c:pt idx="13">
                  <c:v>73.529411764705884</c:v>
                </c:pt>
                <c:pt idx="14">
                  <c:v>39.473684210526315</c:v>
                </c:pt>
                <c:pt idx="15">
                  <c:v>83.333333333333329</c:v>
                </c:pt>
                <c:pt idx="16">
                  <c:v>50.505050505050505</c:v>
                </c:pt>
                <c:pt idx="17">
                  <c:v>65.78947368421052</c:v>
                </c:pt>
                <c:pt idx="18">
                  <c:v>65.78947368421052</c:v>
                </c:pt>
                <c:pt idx="19">
                  <c:v>65.78947368421052</c:v>
                </c:pt>
              </c:numCache>
            </c:numRef>
          </c:xVal>
          <c:yVal>
            <c:numRef>
              <c:f>Minitab_1.MTW!$I$2:$I$21</c:f>
              <c:numCache>
                <c:formatCode>General</c:formatCode>
                <c:ptCount val="20"/>
                <c:pt idx="0">
                  <c:v>-360.69099999999997</c:v>
                </c:pt>
                <c:pt idx="1">
                  <c:v>-372.28199999999998</c:v>
                </c:pt>
                <c:pt idx="2">
                  <c:v>-386.44</c:v>
                </c:pt>
                <c:pt idx="3">
                  <c:v>-393.536</c:v>
                </c:pt>
                <c:pt idx="4">
                  <c:v>-360.69099999999997</c:v>
                </c:pt>
                <c:pt idx="5">
                  <c:v>-374.815</c:v>
                </c:pt>
                <c:pt idx="6">
                  <c:v>-415.03899999999999</c:v>
                </c:pt>
                <c:pt idx="7">
                  <c:v>-360.69099999999997</c:v>
                </c:pt>
                <c:pt idx="8">
                  <c:v>-358.62400000000002</c:v>
                </c:pt>
                <c:pt idx="9">
                  <c:v>-401.64100000000002</c:v>
                </c:pt>
                <c:pt idx="10">
                  <c:v>-343.12700000000001</c:v>
                </c:pt>
                <c:pt idx="11">
                  <c:v>-365.27800000000002</c:v>
                </c:pt>
                <c:pt idx="12">
                  <c:v>-376.66</c:v>
                </c:pt>
                <c:pt idx="13">
                  <c:v>-365.923</c:v>
                </c:pt>
                <c:pt idx="14">
                  <c:v>-461.31299999999999</c:v>
                </c:pt>
                <c:pt idx="15">
                  <c:v>-401.46199999999999</c:v>
                </c:pt>
                <c:pt idx="16">
                  <c:v>-370.22800000000001</c:v>
                </c:pt>
                <c:pt idx="17">
                  <c:v>-360.69099999999997</c:v>
                </c:pt>
                <c:pt idx="18">
                  <c:v>-360.69099999999997</c:v>
                </c:pt>
                <c:pt idx="19">
                  <c:v>-360.69099999999997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63-4E15-B5A8-39E91A00C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652399"/>
        <c:axId val="936644719"/>
      </c:scatterChart>
      <c:valAx>
        <c:axId val="93665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644719"/>
        <c:crosses val="autoZero"/>
        <c:crossBetween val="midCat"/>
      </c:valAx>
      <c:valAx>
        <c:axId val="93664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65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338666</xdr:colOff>
      <xdr:row>0</xdr:row>
      <xdr:rowOff>118533</xdr:rowOff>
    </xdr:from>
    <xdr:to>
      <xdr:col>26</xdr:col>
      <xdr:colOff>533399</xdr:colOff>
      <xdr:row>20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10721B-CACB-C816-D966-9D3DCE964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C93D-E3F8-4950-8F41-3A8F9EF24FC2}">
  <dimension ref="A1:N28"/>
  <sheetViews>
    <sheetView topLeftCell="E1" zoomScale="90" zoomScaleNormal="100" workbookViewId="0">
      <selection activeCell="N30" sqref="N30"/>
    </sheetView>
  </sheetViews>
  <sheetFormatPr defaultRowHeight="14.5" x14ac:dyDescent="0.35"/>
  <cols>
    <col min="9" max="9" width="12.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>
        <v>18</v>
      </c>
      <c r="B2">
        <v>1</v>
      </c>
      <c r="C2">
        <v>0</v>
      </c>
      <c r="D2">
        <v>1</v>
      </c>
      <c r="E2">
        <v>250</v>
      </c>
      <c r="F2">
        <v>950</v>
      </c>
      <c r="G2">
        <v>0.1</v>
      </c>
      <c r="H2">
        <f>(E2/(F2*G2*0.04))</f>
        <v>65.78947368421052</v>
      </c>
      <c r="I2">
        <v>-360.69099999999997</v>
      </c>
      <c r="J2">
        <v>-321.142</v>
      </c>
      <c r="K2">
        <v>-737.08</v>
      </c>
      <c r="L2">
        <v>12.206300000000001</v>
      </c>
      <c r="M2">
        <v>1906.33</v>
      </c>
      <c r="N2">
        <v>-907.97</v>
      </c>
    </row>
    <row r="3" spans="1:14" x14ac:dyDescent="0.35">
      <c r="A3">
        <v>13</v>
      </c>
      <c r="B3">
        <v>2</v>
      </c>
      <c r="C3">
        <v>-1</v>
      </c>
      <c r="D3">
        <v>1</v>
      </c>
      <c r="E3">
        <v>250</v>
      </c>
      <c r="F3">
        <v>950</v>
      </c>
      <c r="G3">
        <v>0.08</v>
      </c>
      <c r="H3">
        <f t="shared" ref="H3:H21" si="0">(E3/(F3*G3*0.04))</f>
        <v>82.23684210526315</v>
      </c>
      <c r="I3">
        <v>-372.28199999999998</v>
      </c>
      <c r="J3">
        <v>-331.18400000000003</v>
      </c>
      <c r="K3">
        <v>-781.73599999999999</v>
      </c>
      <c r="L3">
        <v>11.892200000000001</v>
      </c>
      <c r="M3">
        <v>1924.13</v>
      </c>
      <c r="N3">
        <v>-948.8</v>
      </c>
    </row>
    <row r="4" spans="1:14" x14ac:dyDescent="0.35">
      <c r="A4">
        <v>8</v>
      </c>
      <c r="B4">
        <v>3</v>
      </c>
      <c r="C4">
        <v>1</v>
      </c>
      <c r="D4">
        <v>1</v>
      </c>
      <c r="E4">
        <v>300</v>
      </c>
      <c r="F4">
        <v>1000</v>
      </c>
      <c r="G4">
        <v>0.11</v>
      </c>
      <c r="H4">
        <f t="shared" si="0"/>
        <v>68.181818181818173</v>
      </c>
      <c r="I4">
        <v>-386.44</v>
      </c>
      <c r="J4">
        <v>-343.774</v>
      </c>
      <c r="K4">
        <v>-784.71500000000003</v>
      </c>
      <c r="L4">
        <v>12.835000000000001</v>
      </c>
      <c r="M4">
        <v>1921.05</v>
      </c>
      <c r="N4">
        <v>-968.12</v>
      </c>
    </row>
    <row r="5" spans="1:14" x14ac:dyDescent="0.35">
      <c r="A5">
        <v>6</v>
      </c>
      <c r="B5">
        <v>4</v>
      </c>
      <c r="C5">
        <v>1</v>
      </c>
      <c r="D5">
        <v>1</v>
      </c>
      <c r="E5">
        <v>300</v>
      </c>
      <c r="F5">
        <v>900</v>
      </c>
      <c r="G5">
        <v>0.11</v>
      </c>
      <c r="H5">
        <f t="shared" si="0"/>
        <v>75.757575757575765</v>
      </c>
      <c r="I5">
        <v>-393.536</v>
      </c>
      <c r="J5">
        <v>-349.96499999999997</v>
      </c>
      <c r="K5">
        <v>-810.42499999999995</v>
      </c>
      <c r="L5">
        <v>12.6472</v>
      </c>
      <c r="M5">
        <v>1926.31</v>
      </c>
      <c r="N5">
        <v>-989.5</v>
      </c>
    </row>
    <row r="6" spans="1:14" x14ac:dyDescent="0.35">
      <c r="A6">
        <v>20</v>
      </c>
      <c r="B6">
        <v>5</v>
      </c>
      <c r="C6">
        <v>0</v>
      </c>
      <c r="D6">
        <v>1</v>
      </c>
      <c r="E6">
        <v>250</v>
      </c>
      <c r="F6">
        <v>950</v>
      </c>
      <c r="G6">
        <v>0.1</v>
      </c>
      <c r="H6">
        <f t="shared" si="0"/>
        <v>65.78947368421052</v>
      </c>
      <c r="I6">
        <v>-360.69099999999997</v>
      </c>
      <c r="J6">
        <v>-321.142</v>
      </c>
      <c r="K6">
        <v>-737.08</v>
      </c>
      <c r="L6">
        <v>12.206300000000001</v>
      </c>
      <c r="M6">
        <v>1906.33</v>
      </c>
      <c r="N6">
        <v>-907.97</v>
      </c>
    </row>
    <row r="7" spans="1:14" x14ac:dyDescent="0.35">
      <c r="A7">
        <v>7</v>
      </c>
      <c r="B7">
        <v>6</v>
      </c>
      <c r="C7">
        <v>1</v>
      </c>
      <c r="D7">
        <v>1</v>
      </c>
      <c r="E7">
        <v>200</v>
      </c>
      <c r="F7">
        <v>1000</v>
      </c>
      <c r="G7">
        <v>0.11</v>
      </c>
      <c r="H7">
        <f t="shared" si="0"/>
        <v>45.454545454545453</v>
      </c>
      <c r="I7">
        <v>-374.815</v>
      </c>
      <c r="J7">
        <v>-335.74299999999999</v>
      </c>
      <c r="K7">
        <v>-771.26300000000003</v>
      </c>
      <c r="L7">
        <v>11.3703</v>
      </c>
      <c r="M7">
        <v>1913.26</v>
      </c>
      <c r="N7">
        <v>-943.71</v>
      </c>
    </row>
    <row r="8" spans="1:14" x14ac:dyDescent="0.35">
      <c r="A8">
        <v>10</v>
      </c>
      <c r="B8">
        <v>7</v>
      </c>
      <c r="C8">
        <v>-1</v>
      </c>
      <c r="D8">
        <v>1</v>
      </c>
      <c r="E8">
        <v>350</v>
      </c>
      <c r="F8">
        <v>950</v>
      </c>
      <c r="G8">
        <v>0.1</v>
      </c>
      <c r="H8" s="1">
        <f t="shared" si="0"/>
        <v>92.105263157894726</v>
      </c>
      <c r="I8">
        <v>-415.03899999999999</v>
      </c>
      <c r="J8">
        <v>-368.7</v>
      </c>
      <c r="K8">
        <v>-837.80100000000004</v>
      </c>
      <c r="L8">
        <v>11.9398</v>
      </c>
      <c r="M8">
        <v>1937.82</v>
      </c>
      <c r="N8">
        <v>-1059.1099999999999</v>
      </c>
    </row>
    <row r="9" spans="1:14" x14ac:dyDescent="0.35">
      <c r="A9">
        <v>17</v>
      </c>
      <c r="B9">
        <v>8</v>
      </c>
      <c r="C9">
        <v>0</v>
      </c>
      <c r="D9">
        <v>1</v>
      </c>
      <c r="E9">
        <v>250</v>
      </c>
      <c r="F9">
        <v>950</v>
      </c>
      <c r="G9">
        <v>0.1</v>
      </c>
      <c r="H9">
        <f t="shared" si="0"/>
        <v>65.78947368421052</v>
      </c>
      <c r="I9">
        <v>-360.69099999999997</v>
      </c>
      <c r="J9">
        <v>-321.142</v>
      </c>
      <c r="K9">
        <v>-737.08</v>
      </c>
      <c r="L9">
        <v>12.206300000000001</v>
      </c>
      <c r="M9">
        <v>1906.33</v>
      </c>
      <c r="N9">
        <v>-907.97</v>
      </c>
    </row>
    <row r="10" spans="1:14" x14ac:dyDescent="0.35">
      <c r="A10">
        <v>3</v>
      </c>
      <c r="B10">
        <v>9</v>
      </c>
      <c r="C10">
        <v>1</v>
      </c>
      <c r="D10">
        <v>1</v>
      </c>
      <c r="E10">
        <v>200</v>
      </c>
      <c r="F10">
        <v>1000</v>
      </c>
      <c r="G10">
        <v>0.09</v>
      </c>
      <c r="H10">
        <f t="shared" si="0"/>
        <v>55.555555555555557</v>
      </c>
      <c r="I10">
        <v>-358.62400000000002</v>
      </c>
      <c r="J10">
        <v>-321.23599999999999</v>
      </c>
      <c r="K10">
        <v>-758.59100000000001</v>
      </c>
      <c r="L10">
        <v>10.6768</v>
      </c>
      <c r="M10">
        <v>1910.7</v>
      </c>
      <c r="N10">
        <v>-928.07</v>
      </c>
    </row>
    <row r="11" spans="1:14" x14ac:dyDescent="0.35">
      <c r="A11">
        <v>2</v>
      </c>
      <c r="B11">
        <v>10</v>
      </c>
      <c r="C11">
        <v>1</v>
      </c>
      <c r="D11">
        <v>1</v>
      </c>
      <c r="E11">
        <v>300</v>
      </c>
      <c r="F11">
        <v>900</v>
      </c>
      <c r="G11">
        <v>0.09</v>
      </c>
      <c r="H11" s="1">
        <f t="shared" si="0"/>
        <v>92.592592592592581</v>
      </c>
      <c r="I11">
        <v>-401.64100000000002</v>
      </c>
      <c r="J11">
        <v>-356.78399999999999</v>
      </c>
      <c r="K11">
        <v>-854.23599999999999</v>
      </c>
      <c r="L11">
        <v>11.7522</v>
      </c>
      <c r="M11">
        <v>1930.05</v>
      </c>
      <c r="N11">
        <v>-1031.42</v>
      </c>
    </row>
    <row r="12" spans="1:14" x14ac:dyDescent="0.35">
      <c r="A12">
        <v>1</v>
      </c>
      <c r="B12">
        <v>11</v>
      </c>
      <c r="C12">
        <v>1</v>
      </c>
      <c r="D12">
        <v>1</v>
      </c>
      <c r="E12">
        <v>200</v>
      </c>
      <c r="F12">
        <v>900</v>
      </c>
      <c r="G12">
        <v>0.09</v>
      </c>
      <c r="H12">
        <f t="shared" si="0"/>
        <v>61.728395061728392</v>
      </c>
      <c r="I12">
        <v>-343.12700000000001</v>
      </c>
      <c r="J12">
        <v>-307.45</v>
      </c>
      <c r="K12">
        <v>-737.86699999999996</v>
      </c>
      <c r="L12">
        <v>9.8389199999999999</v>
      </c>
      <c r="M12">
        <v>1905.18</v>
      </c>
      <c r="N12">
        <v>-904.6</v>
      </c>
    </row>
    <row r="13" spans="1:14" x14ac:dyDescent="0.35">
      <c r="A13">
        <v>12</v>
      </c>
      <c r="B13">
        <v>12</v>
      </c>
      <c r="C13">
        <v>-1</v>
      </c>
      <c r="D13">
        <v>1</v>
      </c>
      <c r="E13">
        <v>250</v>
      </c>
      <c r="F13">
        <v>1050</v>
      </c>
      <c r="G13">
        <v>0.1</v>
      </c>
      <c r="H13">
        <f t="shared" si="0"/>
        <v>59.523809523809518</v>
      </c>
      <c r="I13">
        <v>-365.27800000000002</v>
      </c>
      <c r="J13">
        <v>-327.476</v>
      </c>
      <c r="K13">
        <v>-762.61</v>
      </c>
      <c r="L13">
        <v>8.51</v>
      </c>
      <c r="M13">
        <v>1907.55</v>
      </c>
      <c r="N13">
        <v>-946.81</v>
      </c>
    </row>
    <row r="14" spans="1:14" x14ac:dyDescent="0.35">
      <c r="A14">
        <v>14</v>
      </c>
      <c r="B14">
        <v>13</v>
      </c>
      <c r="C14">
        <v>-1</v>
      </c>
      <c r="D14">
        <v>1</v>
      </c>
      <c r="E14">
        <v>250</v>
      </c>
      <c r="F14">
        <v>950</v>
      </c>
      <c r="G14">
        <v>0.12000000000000001</v>
      </c>
      <c r="H14">
        <f t="shared" si="0"/>
        <v>54.824561403508767</v>
      </c>
      <c r="I14">
        <v>-376.66</v>
      </c>
      <c r="J14">
        <v>-337.55500000000001</v>
      </c>
      <c r="K14">
        <v>-779.822</v>
      </c>
      <c r="L14">
        <v>9.4955200000000008</v>
      </c>
      <c r="M14">
        <v>1912.92</v>
      </c>
      <c r="N14">
        <v>-961.79</v>
      </c>
    </row>
    <row r="15" spans="1:14" x14ac:dyDescent="0.35">
      <c r="A15">
        <v>11</v>
      </c>
      <c r="B15">
        <v>14</v>
      </c>
      <c r="C15">
        <v>-1</v>
      </c>
      <c r="D15">
        <v>1</v>
      </c>
      <c r="E15">
        <v>250</v>
      </c>
      <c r="F15">
        <v>850</v>
      </c>
      <c r="G15">
        <v>0.1</v>
      </c>
      <c r="H15">
        <f t="shared" si="0"/>
        <v>73.529411764705884</v>
      </c>
      <c r="I15">
        <v>-365.923</v>
      </c>
      <c r="J15">
        <v>-325.72399999999999</v>
      </c>
      <c r="K15">
        <v>-755.20399999999995</v>
      </c>
      <c r="L15">
        <v>12.06</v>
      </c>
      <c r="M15">
        <v>1916.81</v>
      </c>
      <c r="N15">
        <v>-924.04</v>
      </c>
    </row>
    <row r="16" spans="1:14" x14ac:dyDescent="0.35">
      <c r="A16">
        <v>9</v>
      </c>
      <c r="B16">
        <v>15</v>
      </c>
      <c r="C16">
        <v>-1</v>
      </c>
      <c r="D16">
        <v>1</v>
      </c>
      <c r="E16">
        <v>150</v>
      </c>
      <c r="F16">
        <v>950</v>
      </c>
      <c r="G16">
        <v>0.1</v>
      </c>
      <c r="H16" s="1">
        <f t="shared" si="0"/>
        <v>39.473684210526315</v>
      </c>
      <c r="I16">
        <v>-461.31299999999999</v>
      </c>
      <c r="J16">
        <v>-409.38200000000001</v>
      </c>
      <c r="K16">
        <v>-909.29499999999996</v>
      </c>
      <c r="L16">
        <v>25.637699999999999</v>
      </c>
      <c r="M16">
        <v>1951.2</v>
      </c>
      <c r="N16">
        <v>-1050.99</v>
      </c>
    </row>
    <row r="17" spans="1:14" x14ac:dyDescent="0.35">
      <c r="A17">
        <v>4</v>
      </c>
      <c r="B17">
        <v>16</v>
      </c>
      <c r="C17">
        <v>1</v>
      </c>
      <c r="D17">
        <v>1</v>
      </c>
      <c r="E17">
        <v>300</v>
      </c>
      <c r="F17">
        <v>1000</v>
      </c>
      <c r="G17">
        <v>0.09</v>
      </c>
      <c r="H17">
        <f t="shared" si="0"/>
        <v>83.333333333333329</v>
      </c>
      <c r="I17">
        <v>-401.46199999999999</v>
      </c>
      <c r="J17">
        <v>-356.92099999999999</v>
      </c>
      <c r="K17">
        <v>-834.21900000000005</v>
      </c>
      <c r="L17">
        <v>12.4438</v>
      </c>
      <c r="M17">
        <v>1928.73</v>
      </c>
      <c r="N17">
        <v>-1014.43</v>
      </c>
    </row>
    <row r="18" spans="1:14" x14ac:dyDescent="0.35">
      <c r="A18">
        <v>5</v>
      </c>
      <c r="B18">
        <v>17</v>
      </c>
      <c r="C18">
        <v>1</v>
      </c>
      <c r="D18">
        <v>1</v>
      </c>
      <c r="E18">
        <v>200</v>
      </c>
      <c r="F18">
        <v>900</v>
      </c>
      <c r="G18">
        <v>0.11</v>
      </c>
      <c r="H18">
        <f t="shared" si="0"/>
        <v>50.505050505050505</v>
      </c>
      <c r="I18">
        <v>-370.22800000000001</v>
      </c>
      <c r="J18">
        <v>-331.69299999999998</v>
      </c>
      <c r="K18">
        <v>-770.41700000000003</v>
      </c>
      <c r="L18">
        <v>11.416</v>
      </c>
      <c r="M18">
        <v>1912.92</v>
      </c>
      <c r="N18">
        <v>-938.25</v>
      </c>
    </row>
    <row r="19" spans="1:14" x14ac:dyDescent="0.35">
      <c r="A19">
        <v>15</v>
      </c>
      <c r="B19">
        <v>18</v>
      </c>
      <c r="C19">
        <v>0</v>
      </c>
      <c r="D19">
        <v>1</v>
      </c>
      <c r="E19">
        <v>250</v>
      </c>
      <c r="F19">
        <v>950</v>
      </c>
      <c r="G19">
        <v>0.1</v>
      </c>
      <c r="H19">
        <f t="shared" si="0"/>
        <v>65.78947368421052</v>
      </c>
      <c r="I19">
        <v>-360.69099999999997</v>
      </c>
      <c r="J19">
        <v>-321.142</v>
      </c>
      <c r="K19">
        <v>-737.08</v>
      </c>
      <c r="L19">
        <v>12.206300000000001</v>
      </c>
      <c r="M19">
        <v>1906.33</v>
      </c>
      <c r="N19">
        <v>-907.97</v>
      </c>
    </row>
    <row r="20" spans="1:14" x14ac:dyDescent="0.35">
      <c r="A20">
        <v>19</v>
      </c>
      <c r="B20">
        <v>19</v>
      </c>
      <c r="C20">
        <v>0</v>
      </c>
      <c r="D20">
        <v>1</v>
      </c>
      <c r="E20">
        <v>250</v>
      </c>
      <c r="F20">
        <v>950</v>
      </c>
      <c r="G20">
        <v>0.1</v>
      </c>
      <c r="H20">
        <f t="shared" si="0"/>
        <v>65.78947368421052</v>
      </c>
      <c r="I20">
        <v>-360.69099999999997</v>
      </c>
      <c r="J20">
        <v>-321.142</v>
      </c>
      <c r="K20">
        <v>-737.08</v>
      </c>
      <c r="L20">
        <v>12.206300000000001</v>
      </c>
      <c r="M20">
        <v>1906.33</v>
      </c>
      <c r="N20">
        <v>-907.97</v>
      </c>
    </row>
    <row r="21" spans="1:14" x14ac:dyDescent="0.35">
      <c r="A21">
        <v>16</v>
      </c>
      <c r="B21">
        <v>20</v>
      </c>
      <c r="C21">
        <v>0</v>
      </c>
      <c r="D21">
        <v>1</v>
      </c>
      <c r="E21">
        <v>250</v>
      </c>
      <c r="F21">
        <v>950</v>
      </c>
      <c r="G21">
        <v>0.1</v>
      </c>
      <c r="H21">
        <f t="shared" si="0"/>
        <v>65.78947368421052</v>
      </c>
      <c r="I21">
        <v>-360.69099999999997</v>
      </c>
      <c r="J21">
        <v>-321.142</v>
      </c>
      <c r="K21">
        <v>-737.08</v>
      </c>
      <c r="L21">
        <v>12.206300000000001</v>
      </c>
      <c r="M21">
        <v>1906.33</v>
      </c>
      <c r="N21">
        <v>-907.97</v>
      </c>
    </row>
    <row r="27" spans="1:14" ht="37" x14ac:dyDescent="0.85">
      <c r="E27" s="4" t="s">
        <v>14</v>
      </c>
    </row>
    <row r="28" spans="1:14" x14ac:dyDescent="0.35">
      <c r="E28">
        <v>285</v>
      </c>
      <c r="F28">
        <v>960</v>
      </c>
      <c r="G28">
        <v>0.11</v>
      </c>
      <c r="I28">
        <v>-405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8BC03-211C-4871-94D3-181E2C727B5C}">
  <dimension ref="A1:E45"/>
  <sheetViews>
    <sheetView tabSelected="1" workbookViewId="0">
      <selection activeCell="A2" sqref="A2"/>
    </sheetView>
  </sheetViews>
  <sheetFormatPr defaultRowHeight="14.5" x14ac:dyDescent="0.35"/>
  <sheetData>
    <row r="1" spans="1:5" x14ac:dyDescent="0.35">
      <c r="A1" s="2" t="s">
        <v>4</v>
      </c>
      <c r="B1" s="2" t="s">
        <v>5</v>
      </c>
      <c r="C1" s="2" t="s">
        <v>6</v>
      </c>
      <c r="D1" s="2" t="s">
        <v>13</v>
      </c>
      <c r="E1" s="2" t="s">
        <v>7</v>
      </c>
    </row>
    <row r="2" spans="1:5" x14ac:dyDescent="0.35">
      <c r="A2" s="2">
        <v>250</v>
      </c>
      <c r="B2" s="2">
        <v>950</v>
      </c>
      <c r="C2" s="2">
        <v>0.1</v>
      </c>
      <c r="D2" s="2">
        <v>65.789473999999998</v>
      </c>
      <c r="E2" s="2">
        <v>-360.69099999999997</v>
      </c>
    </row>
    <row r="3" spans="1:5" x14ac:dyDescent="0.35">
      <c r="A3" s="2">
        <v>250</v>
      </c>
      <c r="B3" s="2">
        <v>950</v>
      </c>
      <c r="C3" s="2">
        <v>0.08</v>
      </c>
      <c r="D3" s="2">
        <v>82.236841999999996</v>
      </c>
      <c r="E3" s="2">
        <v>-372.28199999999998</v>
      </c>
    </row>
    <row r="4" spans="1:5" x14ac:dyDescent="0.35">
      <c r="A4" s="2">
        <v>300</v>
      </c>
      <c r="B4" s="2">
        <v>1000</v>
      </c>
      <c r="C4" s="2">
        <v>0.11</v>
      </c>
      <c r="D4" s="2">
        <v>68.181818000000007</v>
      </c>
      <c r="E4" s="2">
        <v>-386.44</v>
      </c>
    </row>
    <row r="5" spans="1:5" x14ac:dyDescent="0.35">
      <c r="A5" s="2">
        <v>300</v>
      </c>
      <c r="B5" s="2">
        <v>900</v>
      </c>
      <c r="C5" s="2">
        <v>0.11</v>
      </c>
      <c r="D5" s="2">
        <v>75.757576</v>
      </c>
      <c r="E5" s="2">
        <v>-393.536</v>
      </c>
    </row>
    <row r="6" spans="1:5" x14ac:dyDescent="0.35">
      <c r="A6" s="2">
        <v>250</v>
      </c>
      <c r="B6" s="2">
        <v>950</v>
      </c>
      <c r="C6" s="2">
        <v>0.1</v>
      </c>
      <c r="D6" s="2">
        <v>65.789473999999998</v>
      </c>
      <c r="E6" s="2">
        <v>-360.69099999999997</v>
      </c>
    </row>
    <row r="7" spans="1:5" x14ac:dyDescent="0.35">
      <c r="A7" s="2">
        <v>200</v>
      </c>
      <c r="B7" s="2">
        <v>1000</v>
      </c>
      <c r="C7" s="2">
        <v>0.11</v>
      </c>
      <c r="D7" s="2">
        <v>45.454545000000003</v>
      </c>
      <c r="E7" s="2">
        <v>-374.815</v>
      </c>
    </row>
    <row r="8" spans="1:5" x14ac:dyDescent="0.35">
      <c r="A8" s="2">
        <v>350</v>
      </c>
      <c r="B8" s="2">
        <v>950</v>
      </c>
      <c r="C8" s="2">
        <v>0.1</v>
      </c>
      <c r="D8" s="2">
        <v>92.105262999999994</v>
      </c>
      <c r="E8" s="2">
        <v>-415.03899999999999</v>
      </c>
    </row>
    <row r="9" spans="1:5" x14ac:dyDescent="0.35">
      <c r="A9" s="2">
        <v>250</v>
      </c>
      <c r="B9" s="2">
        <v>950</v>
      </c>
      <c r="C9" s="2">
        <v>0.1</v>
      </c>
      <c r="D9" s="2">
        <v>65.789473999999998</v>
      </c>
      <c r="E9" s="2">
        <v>-360.69099999999997</v>
      </c>
    </row>
    <row r="10" spans="1:5" x14ac:dyDescent="0.35">
      <c r="A10" s="2">
        <v>200</v>
      </c>
      <c r="B10" s="2">
        <v>1000</v>
      </c>
      <c r="C10" s="2">
        <v>0.09</v>
      </c>
      <c r="D10" s="2">
        <v>55.555556000000003</v>
      </c>
      <c r="E10" s="2">
        <v>-358.62400000000002</v>
      </c>
    </row>
    <row r="11" spans="1:5" x14ac:dyDescent="0.35">
      <c r="A11" s="2">
        <v>300</v>
      </c>
      <c r="B11" s="2">
        <v>900</v>
      </c>
      <c r="C11" s="2">
        <v>0.09</v>
      </c>
      <c r="D11" s="2">
        <v>92.592592999999994</v>
      </c>
      <c r="E11" s="2">
        <v>-401.64100000000002</v>
      </c>
    </row>
    <row r="12" spans="1:5" x14ac:dyDescent="0.35">
      <c r="A12" s="2">
        <v>200</v>
      </c>
      <c r="B12" s="2">
        <v>900</v>
      </c>
      <c r="C12" s="2">
        <v>0.09</v>
      </c>
      <c r="D12" s="2">
        <v>61.728394999999999</v>
      </c>
      <c r="E12" s="2">
        <v>-343.12700000000001</v>
      </c>
    </row>
    <row r="13" spans="1:5" x14ac:dyDescent="0.35">
      <c r="A13" s="2">
        <v>250</v>
      </c>
      <c r="B13" s="2">
        <v>1050</v>
      </c>
      <c r="C13" s="2">
        <v>0.1</v>
      </c>
      <c r="D13" s="2">
        <v>59.523809999999997</v>
      </c>
      <c r="E13" s="2">
        <v>-365.27800000000002</v>
      </c>
    </row>
    <row r="14" spans="1:5" x14ac:dyDescent="0.35">
      <c r="A14" s="2">
        <v>250</v>
      </c>
      <c r="B14" s="2">
        <v>950</v>
      </c>
      <c r="C14" s="2">
        <v>0.12</v>
      </c>
      <c r="D14" s="2">
        <v>54.824561000000003</v>
      </c>
      <c r="E14" s="2">
        <v>-376.66</v>
      </c>
    </row>
    <row r="15" spans="1:5" x14ac:dyDescent="0.35">
      <c r="A15" s="2">
        <v>250</v>
      </c>
      <c r="B15" s="2">
        <v>850</v>
      </c>
      <c r="C15" s="2">
        <v>0.1</v>
      </c>
      <c r="D15" s="2">
        <v>73.529411999999994</v>
      </c>
      <c r="E15" s="2">
        <v>-365.923</v>
      </c>
    </row>
    <row r="16" spans="1:5" x14ac:dyDescent="0.35">
      <c r="A16" s="2">
        <v>150</v>
      </c>
      <c r="B16" s="2">
        <v>950</v>
      </c>
      <c r="C16" s="2">
        <v>0.1</v>
      </c>
      <c r="D16" s="2">
        <v>39.473683999999999</v>
      </c>
      <c r="E16" s="2">
        <v>-461.31299999999999</v>
      </c>
    </row>
    <row r="17" spans="1:5" x14ac:dyDescent="0.35">
      <c r="A17" s="2">
        <v>300</v>
      </c>
      <c r="B17" s="2">
        <v>1000</v>
      </c>
      <c r="C17" s="2">
        <v>0.09</v>
      </c>
      <c r="D17" s="2">
        <v>83.333332999999996</v>
      </c>
      <c r="E17" s="2">
        <v>-401.46199999999999</v>
      </c>
    </row>
    <row r="18" spans="1:5" x14ac:dyDescent="0.35">
      <c r="A18" s="2">
        <v>200</v>
      </c>
      <c r="B18" s="2">
        <v>900</v>
      </c>
      <c r="C18" s="2">
        <v>0.11</v>
      </c>
      <c r="D18" s="2">
        <v>50.505051000000002</v>
      </c>
      <c r="E18" s="2">
        <v>-370.22800000000001</v>
      </c>
    </row>
    <row r="19" spans="1:5" x14ac:dyDescent="0.35">
      <c r="A19" s="2">
        <v>250</v>
      </c>
      <c r="B19" s="2">
        <v>950</v>
      </c>
      <c r="C19" s="2">
        <v>0.1</v>
      </c>
      <c r="D19" s="2">
        <v>65.789473999999998</v>
      </c>
      <c r="E19" s="2">
        <v>-360.69099999999997</v>
      </c>
    </row>
    <row r="20" spans="1:5" x14ac:dyDescent="0.35">
      <c r="A20" s="2">
        <v>250</v>
      </c>
      <c r="B20" s="2">
        <v>950</v>
      </c>
      <c r="C20" s="2">
        <v>0.1</v>
      </c>
      <c r="D20" s="2">
        <v>65.789473999999998</v>
      </c>
      <c r="E20" s="2">
        <v>-360.69099999999997</v>
      </c>
    </row>
    <row r="21" spans="1:5" x14ac:dyDescent="0.35">
      <c r="A21" s="2">
        <v>250</v>
      </c>
      <c r="B21" s="2">
        <v>950</v>
      </c>
      <c r="C21" s="2">
        <v>0.1</v>
      </c>
      <c r="D21" s="2">
        <v>65.789473999999998</v>
      </c>
      <c r="E21" s="2">
        <v>-360.69099999999997</v>
      </c>
    </row>
    <row r="22" spans="1:5" x14ac:dyDescent="0.35">
      <c r="A22" s="2">
        <v>250</v>
      </c>
      <c r="B22" s="2">
        <v>850</v>
      </c>
      <c r="C22" s="2">
        <v>0.12</v>
      </c>
      <c r="D22" s="2">
        <v>61.274509999999999</v>
      </c>
      <c r="E22" s="2">
        <v>-374.43099999999998</v>
      </c>
    </row>
    <row r="23" spans="1:5" x14ac:dyDescent="0.35">
      <c r="A23" s="2">
        <v>150</v>
      </c>
      <c r="B23" s="2">
        <v>850</v>
      </c>
      <c r="C23" s="2">
        <v>0.1</v>
      </c>
      <c r="D23" s="2">
        <v>44.117646999999998</v>
      </c>
      <c r="E23" s="2">
        <v>-460.08100000000002</v>
      </c>
    </row>
    <row r="24" spans="1:5" x14ac:dyDescent="0.35">
      <c r="A24" s="2">
        <v>350</v>
      </c>
      <c r="B24" s="2">
        <v>1050</v>
      </c>
      <c r="C24" s="2">
        <v>0.1</v>
      </c>
      <c r="D24" s="2">
        <v>83.333332999999996</v>
      </c>
      <c r="E24" s="2">
        <v>-424.774</v>
      </c>
    </row>
    <row r="25" spans="1:5" x14ac:dyDescent="0.35">
      <c r="A25" s="2">
        <v>250</v>
      </c>
      <c r="B25" s="2">
        <v>1050</v>
      </c>
      <c r="C25" s="2">
        <v>0.1</v>
      </c>
      <c r="D25" s="2">
        <v>59.523809999999997</v>
      </c>
      <c r="E25" s="2">
        <v>-365.27800000000002</v>
      </c>
    </row>
    <row r="26" spans="1:5" x14ac:dyDescent="0.35">
      <c r="A26" s="2">
        <v>350</v>
      </c>
      <c r="B26" s="2">
        <v>950</v>
      </c>
      <c r="C26" s="2">
        <v>0.12</v>
      </c>
      <c r="D26" s="2">
        <v>76.754385999999997</v>
      </c>
      <c r="E26" s="2">
        <v>-417.12799999999999</v>
      </c>
    </row>
    <row r="27" spans="1:5" x14ac:dyDescent="0.35">
      <c r="A27" s="2">
        <v>250</v>
      </c>
      <c r="B27" s="2">
        <v>1050</v>
      </c>
      <c r="C27" s="2">
        <v>0.12</v>
      </c>
      <c r="D27" s="2">
        <v>49.603175</v>
      </c>
      <c r="E27" s="2">
        <v>-389.21899999999999</v>
      </c>
    </row>
    <row r="28" spans="1:5" x14ac:dyDescent="0.35">
      <c r="A28" s="2">
        <v>350</v>
      </c>
      <c r="B28" s="2">
        <v>1050</v>
      </c>
      <c r="C28" s="2">
        <v>0.12</v>
      </c>
      <c r="D28" s="2">
        <v>69.444444000000004</v>
      </c>
      <c r="E28" s="2">
        <v>-407.94400000000002</v>
      </c>
    </row>
    <row r="29" spans="1:5" x14ac:dyDescent="0.35">
      <c r="A29" s="2">
        <v>250</v>
      </c>
      <c r="B29" s="2">
        <v>1050</v>
      </c>
      <c r="C29" s="2">
        <v>0.08</v>
      </c>
      <c r="D29" s="2">
        <v>74.404762000000005</v>
      </c>
      <c r="E29" s="2">
        <v>-366.75</v>
      </c>
    </row>
    <row r="30" spans="1:5" x14ac:dyDescent="0.35">
      <c r="A30" s="2">
        <v>250</v>
      </c>
      <c r="B30" s="2">
        <v>950</v>
      </c>
      <c r="C30" s="2">
        <v>0.12</v>
      </c>
      <c r="D30" s="2">
        <v>54.824561000000003</v>
      </c>
      <c r="E30" s="2">
        <v>-376.66</v>
      </c>
    </row>
    <row r="31" spans="1:5" x14ac:dyDescent="0.35">
      <c r="A31" s="2">
        <v>150</v>
      </c>
      <c r="B31" s="2">
        <v>950</v>
      </c>
      <c r="C31" s="2">
        <v>0.08</v>
      </c>
      <c r="D31" s="2">
        <v>49.342104999999997</v>
      </c>
      <c r="E31" s="2">
        <v>-458.952</v>
      </c>
    </row>
    <row r="32" spans="1:5" x14ac:dyDescent="0.35">
      <c r="A32" s="2">
        <v>250</v>
      </c>
      <c r="B32" s="2">
        <v>850</v>
      </c>
      <c r="C32" s="2">
        <v>0.1</v>
      </c>
      <c r="D32" s="2">
        <v>73.529411999999994</v>
      </c>
      <c r="E32" s="2">
        <v>-365.923</v>
      </c>
    </row>
    <row r="33" spans="1:5" x14ac:dyDescent="0.35">
      <c r="A33" s="2">
        <v>150</v>
      </c>
      <c r="B33" s="2">
        <v>850</v>
      </c>
      <c r="C33" s="2">
        <v>0.08</v>
      </c>
      <c r="D33" s="2">
        <v>55.147058999999999</v>
      </c>
      <c r="E33" s="2">
        <v>-323.63600000000002</v>
      </c>
    </row>
    <row r="34" spans="1:5" x14ac:dyDescent="0.35">
      <c r="A34" s="2">
        <v>150</v>
      </c>
      <c r="B34" s="2">
        <v>1050</v>
      </c>
      <c r="C34" s="2">
        <v>0.08</v>
      </c>
      <c r="D34" s="2">
        <v>44.642856999999999</v>
      </c>
      <c r="E34" s="2">
        <v>-460.11900000000003</v>
      </c>
    </row>
    <row r="35" spans="1:5" ht="15" thickBot="1" x14ac:dyDescent="0.4">
      <c r="A35" s="2">
        <v>350</v>
      </c>
      <c r="B35" s="2">
        <v>850</v>
      </c>
      <c r="C35" s="2">
        <v>0.12</v>
      </c>
      <c r="D35" s="2">
        <v>85.784313999999995</v>
      </c>
      <c r="E35" s="2">
        <v>-425.26900000000001</v>
      </c>
    </row>
    <row r="36" spans="1:5" ht="15" thickBot="1" x14ac:dyDescent="0.4">
      <c r="A36" s="3">
        <v>150</v>
      </c>
      <c r="B36" s="3">
        <v>1000</v>
      </c>
      <c r="C36" s="3">
        <v>0.1</v>
      </c>
      <c r="D36" s="3">
        <v>37.5</v>
      </c>
      <c r="E36" s="2">
        <v>-461.82</v>
      </c>
    </row>
    <row r="37" spans="1:5" ht="15" thickBot="1" x14ac:dyDescent="0.4">
      <c r="A37" s="3">
        <v>200</v>
      </c>
      <c r="B37" s="3">
        <v>1000</v>
      </c>
      <c r="C37" s="3">
        <v>0.1</v>
      </c>
      <c r="D37" s="3">
        <v>50</v>
      </c>
      <c r="E37" s="2">
        <v>-370.75299999999999</v>
      </c>
    </row>
    <row r="38" spans="1:5" ht="15" thickBot="1" x14ac:dyDescent="0.4">
      <c r="A38" s="3">
        <v>300</v>
      </c>
      <c r="B38" s="3">
        <v>1000</v>
      </c>
      <c r="C38" s="3">
        <v>0.1</v>
      </c>
      <c r="D38" s="3">
        <v>75</v>
      </c>
      <c r="E38" s="2">
        <v>-392.87099999999998</v>
      </c>
    </row>
    <row r="39" spans="1:5" ht="15" thickBot="1" x14ac:dyDescent="0.4">
      <c r="A39" s="3">
        <v>350</v>
      </c>
      <c r="B39" s="3">
        <v>1000</v>
      </c>
      <c r="C39" s="3">
        <v>0.1</v>
      </c>
      <c r="D39" s="3">
        <v>87.5</v>
      </c>
      <c r="E39" s="2">
        <v>-422.29599999999999</v>
      </c>
    </row>
    <row r="40" spans="1:5" ht="15" thickBot="1" x14ac:dyDescent="0.4">
      <c r="A40" s="3">
        <v>250</v>
      </c>
      <c r="B40" s="3">
        <v>900</v>
      </c>
      <c r="C40" s="3">
        <v>0.1</v>
      </c>
      <c r="D40" s="3">
        <v>69.400000000000006</v>
      </c>
      <c r="E40" s="2">
        <v>-362.33</v>
      </c>
    </row>
    <row r="41" spans="1:5" ht="15" thickBot="1" x14ac:dyDescent="0.4">
      <c r="A41" s="3">
        <v>250</v>
      </c>
      <c r="B41" s="3">
        <v>1000</v>
      </c>
      <c r="C41" s="3">
        <v>0.1</v>
      </c>
      <c r="D41" s="3">
        <v>62.5</v>
      </c>
      <c r="E41" s="2">
        <v>-360.048</v>
      </c>
    </row>
    <row r="42" spans="1:5" ht="15" thickBot="1" x14ac:dyDescent="0.4">
      <c r="A42" s="3">
        <v>250</v>
      </c>
      <c r="B42" s="3">
        <v>1000</v>
      </c>
      <c r="C42" s="3">
        <v>0.08</v>
      </c>
      <c r="D42" s="3">
        <v>78.099999999999994</v>
      </c>
      <c r="E42" s="2">
        <v>-369.54300000000001</v>
      </c>
    </row>
    <row r="43" spans="1:5" ht="15" thickBot="1" x14ac:dyDescent="0.4">
      <c r="A43" s="3">
        <v>250</v>
      </c>
      <c r="B43" s="3">
        <v>1000</v>
      </c>
      <c r="C43" s="3">
        <v>0.09</v>
      </c>
      <c r="D43" s="3">
        <v>69.400000000000006</v>
      </c>
      <c r="E43" s="2">
        <v>-362.36099999999999</v>
      </c>
    </row>
    <row r="44" spans="1:5" ht="15" thickBot="1" x14ac:dyDescent="0.4">
      <c r="A44" s="3">
        <v>250</v>
      </c>
      <c r="B44" s="3">
        <v>1000</v>
      </c>
      <c r="C44" s="3">
        <v>0.11</v>
      </c>
      <c r="D44" s="3">
        <v>56.8</v>
      </c>
      <c r="E44" s="2">
        <v>-371.904</v>
      </c>
    </row>
    <row r="45" spans="1:5" ht="15" thickBot="1" x14ac:dyDescent="0.4">
      <c r="A45" s="3">
        <v>250</v>
      </c>
      <c r="B45" s="3">
        <v>1000</v>
      </c>
      <c r="C45" s="3">
        <v>0.12</v>
      </c>
      <c r="D45" s="3">
        <v>52.1</v>
      </c>
      <c r="E45" s="2">
        <v>-459.505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195B83481AFA4CAA5912DB215B0890" ma:contentTypeVersion="13" ma:contentTypeDescription="Create a new document." ma:contentTypeScope="" ma:versionID="86c78988e6ae14f99ea4a576a843ebab">
  <xsd:schema xmlns:xsd="http://www.w3.org/2001/XMLSchema" xmlns:xs="http://www.w3.org/2001/XMLSchema" xmlns:p="http://schemas.microsoft.com/office/2006/metadata/properties" xmlns:ns3="2e69ede7-b5e3-47d1-8889-c5b647cbc3ca" targetNamespace="http://schemas.microsoft.com/office/2006/metadata/properties" ma:root="true" ma:fieldsID="bbc0aaf6cedd4663464e8562c032f235" ns3:_="">
    <xsd:import namespace="2e69ede7-b5e3-47d1-8889-c5b647cbc3c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9ede7-b5e3-47d1-8889-c5b647cbc3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69ede7-b5e3-47d1-8889-c5b647cbc3c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8660BA-057A-4FEB-8387-5D42A86A45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69ede7-b5e3-47d1-8889-c5b647cbc3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548433-AA91-47E3-ABA3-17CDBE8817B5}">
  <ds:schemaRefs>
    <ds:schemaRef ds:uri="2e69ede7-b5e3-47d1-8889-c5b647cbc3ca"/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1F79D1-F162-4498-AA86-D8095413B8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Minitab_1.MTW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Verma</dc:creator>
  <cp:lastModifiedBy>Raghav Arora</cp:lastModifiedBy>
  <dcterms:created xsi:type="dcterms:W3CDTF">2026-03-20T11:32:55Z</dcterms:created>
  <dcterms:modified xsi:type="dcterms:W3CDTF">2026-05-04T13:38:23Z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0x01010009195B83481AFA4CAA5912DB215B0890</vt:lpwstr>
  </property>
</Properties>
</file>